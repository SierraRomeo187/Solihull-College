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achingccover\College_Downloads\"/>
    </mc:Choice>
  </mc:AlternateContent>
  <xr:revisionPtr revIDLastSave="0" documentId="13_ncr:1_{E9F36B42-AC96-4DD5-A200-585529596BA5}" xr6:coauthVersionLast="47" xr6:coauthVersionMax="47" xr10:uidLastSave="{00000000-0000-0000-0000-000000000000}"/>
  <bookViews>
    <workbookView xWindow="768" yWindow="768" windowWidth="21840" windowHeight="11220" xr2:uid="{00000000-000D-0000-FFFF-FFFF00000000}"/>
  </bookViews>
  <sheets>
    <sheet name="Computer Systems Grp 1" sheetId="1" r:id="rId1"/>
    <sheet name="Grp 2 Awareness of Cyber" sheetId="5" r:id="rId2"/>
  </sheets>
  <definedNames>
    <definedName name="_Hlk83537405" localSheetId="0">'Computer Systems Grp 1'!$F$5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19" i="5"/>
  <c r="T8" i="5"/>
  <c r="T9" i="5"/>
  <c r="T10" i="5"/>
  <c r="T11" i="5"/>
  <c r="T12" i="5"/>
  <c r="T13" i="5"/>
  <c r="T14" i="5"/>
  <c r="T15" i="5"/>
  <c r="T16" i="5"/>
  <c r="T17" i="5"/>
  <c r="T18" i="5"/>
  <c r="T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tc={F4DA99C7-D814-4BF8-A83E-A0D5AADCDDC0}</author>
  </authors>
  <commentList>
    <comment ref="T20" authorId="0" shapeId="0" xr:uid="{F4DA99C7-D814-4BF8-A83E-A0D5AADCDDC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@Rahila Akhtar I am happy with this section and have updated the feedback for him. Can I place a Pass on this?</t>
        </r>
      </text>
    </comment>
  </commentList>
</comments>
</file>

<file path=xl/sharedStrings.xml><?xml version="1.0" encoding="utf-8"?>
<sst xmlns="http://schemas.openxmlformats.org/spreadsheetml/2006/main" count="188" uniqueCount="65">
  <si>
    <t>Computer Systems  Group 1</t>
  </si>
  <si>
    <t>Date:  25/05/2022</t>
  </si>
  <si>
    <t>Student Progress</t>
  </si>
  <si>
    <t>Student Names</t>
  </si>
  <si>
    <t>Task 1A 1.1. Identify the components and parts of a PC.</t>
  </si>
  <si>
    <t>Task 3 Part 3 ports 1.1. Identify the components and parts of a PC.</t>
  </si>
  <si>
    <t>Task 3 part 4 1.1. Identify the components and parts of a PC.</t>
  </si>
  <si>
    <t>Task 4 part 1 Practical 1.1. Identify the components and parts of a PC.</t>
  </si>
  <si>
    <t>Task 1B 1.2  Outline roles and responsibilities of the components inside a PC base   unit.</t>
  </si>
  <si>
    <r>
      <t>Task 1C   1.3</t>
    </r>
    <r>
      <rPr>
        <sz val="11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 xml:space="preserve">Give examples of different types of components. </t>
    </r>
  </si>
  <si>
    <t>2.1. Outline how data flows around a machine.</t>
  </si>
  <si>
    <t>2.2. Demonstrate health and safety guidelines being followed.</t>
  </si>
  <si>
    <t>2.3. Use appropriate tools to install computer peripheral components.</t>
  </si>
  <si>
    <t>3.1. Identify different types of computer systems.</t>
  </si>
  <si>
    <t>3.2. Define how different types of computer systems can be used.</t>
  </si>
  <si>
    <t>3.3. Outline the advantages and disadvantages of different types of computer systems.</t>
  </si>
  <si>
    <t>4.1. Identify how to protect a computer from online threats.</t>
  </si>
  <si>
    <t>4.2. Demonstrate installing antivirus software.</t>
  </si>
  <si>
    <t>4.3. Use anti-virus software to check for any viruses on machines.</t>
  </si>
  <si>
    <t>Grade</t>
  </si>
  <si>
    <t>Single Cell Value</t>
  </si>
  <si>
    <t>Cleared</t>
  </si>
  <si>
    <t>Progress Bar</t>
  </si>
  <si>
    <t>Assessment Criteria</t>
  </si>
  <si>
    <t>No work</t>
  </si>
  <si>
    <t>no work</t>
  </si>
  <si>
    <t>not complete</t>
  </si>
  <si>
    <t>pass</t>
  </si>
  <si>
    <t>Pass</t>
  </si>
  <si>
    <r>
      <rPr>
        <b/>
        <sz val="11"/>
        <color theme="1"/>
        <rFont val="Calibri"/>
        <family val="2"/>
        <scheme val="minor"/>
      </rPr>
      <t>Task 1A</t>
    </r>
    <r>
      <rPr>
        <sz val="11"/>
        <color theme="1"/>
        <rFont val="Calibri"/>
        <family val="2"/>
        <scheme val="minor"/>
      </rPr>
      <t xml:space="preserve"> 1.1. Identify the components and parts of a PC.</t>
    </r>
  </si>
  <si>
    <r>
      <rPr>
        <b/>
        <sz val="11"/>
        <color theme="1"/>
        <rFont val="Calibri"/>
        <family val="2"/>
        <scheme val="minor"/>
      </rPr>
      <t>Task 3 Part 3 ports</t>
    </r>
    <r>
      <rPr>
        <sz val="11"/>
        <color theme="1"/>
        <rFont val="Calibri"/>
        <family val="2"/>
        <scheme val="minor"/>
      </rPr>
      <t xml:space="preserve"> 1.1. Identify the components and parts of a PC.</t>
    </r>
  </si>
  <si>
    <r>
      <rPr>
        <b/>
        <sz val="11"/>
        <color theme="1"/>
        <rFont val="Calibri"/>
        <family val="2"/>
        <scheme val="minor"/>
      </rPr>
      <t>Task 3 part 4</t>
    </r>
    <r>
      <rPr>
        <sz val="11"/>
        <color theme="1"/>
        <rFont val="Calibri"/>
        <family val="2"/>
        <scheme val="minor"/>
      </rPr>
      <t xml:space="preserve"> 1.1. Identify the components and parts of a PC.</t>
    </r>
  </si>
  <si>
    <r>
      <rPr>
        <b/>
        <sz val="11"/>
        <color theme="1"/>
        <rFont val="Calibri"/>
        <family val="2"/>
        <scheme val="minor"/>
      </rPr>
      <t>Task 4 part 1 Practical</t>
    </r>
    <r>
      <rPr>
        <sz val="11"/>
        <color theme="1"/>
        <rFont val="Calibri"/>
        <family val="2"/>
        <scheme val="minor"/>
      </rPr>
      <t xml:space="preserve"> 1.1. Identify the components and parts of a PC.</t>
    </r>
  </si>
  <si>
    <r>
      <rPr>
        <b/>
        <sz val="11"/>
        <color theme="1"/>
        <rFont val="Calibri"/>
        <family val="2"/>
        <scheme val="minor"/>
      </rPr>
      <t xml:space="preserve">Task 1C  </t>
    </r>
    <r>
      <rPr>
        <sz val="11"/>
        <color theme="1"/>
        <rFont val="Calibri"/>
        <family val="2"/>
        <scheme val="minor"/>
      </rPr>
      <t xml:space="preserve"> 1.3</t>
    </r>
    <r>
      <rPr>
        <sz val="11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 xml:space="preserve">Give examples of different types of components. </t>
    </r>
  </si>
  <si>
    <t>Date: 25/05/2022</t>
  </si>
  <si>
    <t>1.1. Define what is meant by the term ‘cyber security’.</t>
  </si>
  <si>
    <t>1.2. Define what is meant by the term ‘cyber threats’.</t>
  </si>
  <si>
    <t>1.3. Identify the key skills required within the cybersecurity sector.</t>
  </si>
  <si>
    <t>1.4. Give examples of different types of online threats.</t>
  </si>
  <si>
    <t>1.5. Outline different types of security measures to protect a user and their computer from threats.</t>
  </si>
  <si>
    <t>1.6. Explain how cybercrime can impact a business.</t>
  </si>
  <si>
    <t>2.1. Identify how users can keep information safe online.</t>
  </si>
  <si>
    <t>2.2. Outline how to keep personal passwords safe online.</t>
  </si>
  <si>
    <t>2.3. Outline how payments can be made securely online.</t>
  </si>
  <si>
    <t>3.1. Outline security measures that can be used to protect users from cyber crime.</t>
  </si>
  <si>
    <t>3.2. Outline security measures that can be used to protect computers from cyber crime.</t>
  </si>
  <si>
    <t>4.1. Explain what is meant by GDPR.</t>
  </si>
  <si>
    <t>4.2. Explain how businesses can comply with GDPR.</t>
  </si>
  <si>
    <t>4.3. State what the Computer Misuse Act is.</t>
  </si>
  <si>
    <t>4.4. State the 7 key principals covered by the Data Protection Act.</t>
  </si>
  <si>
    <t>Awareness of Cyber Threats and Security  Group 2</t>
  </si>
  <si>
    <t>turnin is still high</t>
  </si>
  <si>
    <t>54% Turnitin</t>
  </si>
  <si>
    <t>turn in high</t>
  </si>
  <si>
    <t>turn i  high</t>
  </si>
  <si>
    <t>turn i  score is high</t>
  </si>
  <si>
    <t xml:space="preserve">slight more to do </t>
  </si>
  <si>
    <t>No work submitted</t>
  </si>
  <si>
    <t>turn in score is high 37%</t>
  </si>
  <si>
    <t>turn in score is too high 73%</t>
  </si>
  <si>
    <t>A little more detail.</t>
  </si>
  <si>
    <t xml:space="preserve">jtyjyr </t>
  </si>
  <si>
    <t>Expand on the the bulleted points please</t>
  </si>
  <si>
    <t>1. A.Student</t>
  </si>
  <si>
    <t>2. A.Student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</si>
</sst>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36"/>
      <color rgb="FF000000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F2F2F2"/>
      </left>
      <right style="dotted">
        <color rgb="FFF2F2F2"/>
      </right>
      <top style="dotted">
        <color rgb="FFF2F2F2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tted">
        <color rgb="FFF2F2F2"/>
      </left>
      <right style="dotted">
        <color rgb="FFF2F2F2"/>
      </right>
      <top style="thin">
        <color rgb="FF000000"/>
      </top>
      <bottom style="thin">
        <color rgb="FF000000"/>
      </bottom>
      <diagonal/>
    </border>
    <border>
      <left style="dotted">
        <color rgb="FFF2F2F2"/>
      </left>
      <right style="dotted">
        <color rgb="FFF2F2F2"/>
      </right>
      <top style="thin">
        <color rgb="FF000000"/>
      </top>
      <bottom style="dotted">
        <color rgb="FFF2F2F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F2F2F2"/>
      </right>
      <top style="dotted">
        <color rgb="FFF2F2F2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 textRotation="45" wrapText="1"/>
    </xf>
    <xf numFmtId="0" fontId="0" fillId="4" borderId="1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vertical="top" wrapText="1"/>
    </xf>
    <xf numFmtId="0" fontId="0" fillId="5" borderId="1" xfId="0" applyFill="1" applyBorder="1"/>
    <xf numFmtId="0" fontId="0" fillId="3" borderId="0" xfId="0" applyFill="1"/>
    <xf numFmtId="9" fontId="0" fillId="3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/>
    <xf numFmtId="14" fontId="0" fillId="0" borderId="0" xfId="0" applyNumberFormat="1"/>
    <xf numFmtId="0" fontId="0" fillId="8" borderId="3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4" fontId="0" fillId="9" borderId="0" xfId="0" applyNumberFormat="1" applyFill="1"/>
    <xf numFmtId="164" fontId="0" fillId="0" borderId="0" xfId="0" applyNumberForma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9" fontId="0" fillId="3" borderId="1" xfId="0" applyNumberFormat="1" applyFill="1" applyBorder="1"/>
    <xf numFmtId="164" fontId="0" fillId="9" borderId="0" xfId="0" applyNumberFormat="1" applyFill="1"/>
    <xf numFmtId="0" fontId="5" fillId="3" borderId="1" xfId="0" applyFont="1" applyFill="1" applyBorder="1" applyAlignment="1">
      <alignment vertical="top" wrapText="1"/>
    </xf>
    <xf numFmtId="9" fontId="0" fillId="3" borderId="1" xfId="0" applyNumberFormat="1" applyFill="1" applyBorder="1" applyAlignment="1">
      <alignment wrapText="1"/>
    </xf>
    <xf numFmtId="0" fontId="0" fillId="0" borderId="1" xfId="0" applyBorder="1" applyAlignment="1">
      <alignment wrapText="1"/>
    </xf>
    <xf numFmtId="9" fontId="0" fillId="7" borderId="1" xfId="0" applyNumberFormat="1" applyFill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6" fillId="10" borderId="8" xfId="0" applyFont="1" applyFill="1" applyBorder="1"/>
    <xf numFmtId="0" fontId="0" fillId="0" borderId="8" xfId="0" applyBorder="1"/>
    <xf numFmtId="0" fontId="0" fillId="2" borderId="7" xfId="0" applyFill="1" applyBorder="1"/>
    <xf numFmtId="0" fontId="0" fillId="0" borderId="9" xfId="0" applyBorder="1" applyAlignment="1">
      <alignment vertical="top" wrapText="1"/>
    </xf>
    <xf numFmtId="0" fontId="0" fillId="10" borderId="8" xfId="0" applyFill="1" applyBorder="1"/>
    <xf numFmtId="0" fontId="0" fillId="2" borderId="10" xfId="0" applyFill="1" applyBorder="1"/>
    <xf numFmtId="10" fontId="0" fillId="0" borderId="11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0" fontId="0" fillId="0" borderId="13" xfId="0" applyBorder="1"/>
    <xf numFmtId="10" fontId="0" fillId="0" borderId="16" xfId="0" applyNumberFormat="1" applyBorder="1"/>
    <xf numFmtId="0" fontId="0" fillId="11" borderId="12" xfId="0" applyFill="1" applyBorder="1"/>
    <xf numFmtId="0" fontId="0" fillId="11" borderId="8" xfId="0" applyFill="1" applyBorder="1"/>
    <xf numFmtId="0" fontId="0" fillId="2" borderId="17" xfId="0" applyFill="1" applyBorder="1"/>
    <xf numFmtId="10" fontId="0" fillId="0" borderId="18" xfId="0" applyNumberFormat="1" applyBorder="1"/>
    <xf numFmtId="0" fontId="0" fillId="12" borderId="7" xfId="0" applyFill="1" applyBorder="1"/>
    <xf numFmtId="0" fontId="0" fillId="13" borderId="4" xfId="0" applyFill="1" applyBorder="1" applyAlignment="1">
      <alignment vertical="top" wrapText="1"/>
    </xf>
    <xf numFmtId="0" fontId="0" fillId="13" borderId="5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3" borderId="1" xfId="0" applyFill="1" applyBorder="1" applyAlignment="1">
      <alignment vertical="top"/>
    </xf>
    <xf numFmtId="0" fontId="4" fillId="14" borderId="7" xfId="0" applyFont="1" applyFill="1" applyBorder="1" applyAlignment="1">
      <alignment horizontal="left" vertical="center" wrapText="1" indent="1"/>
    </xf>
    <xf numFmtId="0" fontId="0" fillId="4" borderId="19" xfId="0" applyFill="1" applyBorder="1" applyAlignment="1">
      <alignment vertical="top" wrapText="1"/>
    </xf>
    <xf numFmtId="0" fontId="0" fillId="3" borderId="19" xfId="0" applyFill="1" applyBorder="1" applyAlignment="1">
      <alignment vertical="top" wrapText="1"/>
    </xf>
    <xf numFmtId="9" fontId="0" fillId="5" borderId="19" xfId="0" applyNumberFormat="1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3" borderId="19" xfId="0" applyFill="1" applyBorder="1"/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8" borderId="20" xfId="0" applyFill="1" applyBorder="1" applyAlignment="1">
      <alignment vertical="top" wrapText="1"/>
    </xf>
    <xf numFmtId="9" fontId="0" fillId="3" borderId="19" xfId="0" applyNumberFormat="1" applyFill="1" applyBorder="1" applyAlignment="1">
      <alignment vertical="top" wrapText="1"/>
    </xf>
    <xf numFmtId="0" fontId="0" fillId="7" borderId="19" xfId="0" applyFill="1" applyBorder="1" applyAlignment="1">
      <alignment vertical="top" wrapText="1"/>
    </xf>
    <xf numFmtId="0" fontId="0" fillId="5" borderId="19" xfId="0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3" borderId="5" xfId="0" applyFont="1" applyFill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ACD1056D-D71F-43A7-BD36-AA096722EDD4}">
    <Anchor>
      <Comment id="{F4DA99C7-D814-4BF8-A83E-A0D5AADCDDC0}"/>
    </Anchor>
    <History>
      <Event time="2022-06-08T09:24:58.10" id="{7406848F-8BAB-47F7-BDCF-9A7971E50B1F}">
        <Attribution userId="S::sanaur.rahman@solihull.ac.uk::b19f43ac-d708-4832-abde-bb19968818c4" userName="Sanaur Rahman" userProvider="AD"/>
        <Anchor>
          <Comment id="{F4DA99C7-D814-4BF8-A83E-A0D5AADCDDC0}"/>
        </Anchor>
        <Create/>
      </Event>
      <Event time="2022-06-08T09:24:58.10" id="{51E5DC74-429A-4B8C-869E-7B99AD2678C9}">
        <Attribution userId="S::sanaur.rahman@solihull.ac.uk::b19f43ac-d708-4832-abde-bb19968818c4" userName="Sanaur Rahman" userProvider="AD"/>
        <Anchor>
          <Comment id="{F4DA99C7-D814-4BF8-A83E-A0D5AADCDDC0}"/>
        </Anchor>
        <Assign userId="S::Rahila.Akhtar@Solihull.ac.uk::075afffe-57b2-4d97-9708-e52eb28073fa" userName="Rahila Akhtar" userProvider="AD"/>
      </Event>
      <Event time="2022-06-08T09:24:58.10" id="{AADA57C0-481F-40A1-8458-AE11801B5FC2}">
        <Attribution userId="S::sanaur.rahman@solihull.ac.uk::b19f43ac-d708-4832-abde-bb19968818c4" userName="Sanaur Rahman" userProvider="AD"/>
        <Anchor>
          <Comment id="{F4DA99C7-D814-4BF8-A83E-A0D5AADCDDC0}"/>
        </Anchor>
        <SetTitle title="@Rahila Akhtar I am happy with this section and have updated the feedback for him. Can I place a Pass on this?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Rahila Akhtar" id="{FB67B3A9-3A7A-4398-8B82-1B08911EA27B}" userId="Rahila.Akhtar@Solihull.ac.uk" providerId="PeoplePicker"/>
  <person displayName="Sanaur Rahman" id="{F197763C-A5EE-4ABF-AF29-A4560F3E32DB}" userId="S::sanaur.rahman@solihull.ac.uk::b19f43ac-d708-4832-abde-bb19968818c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0" dT="2022-06-08T09:24:58.56" personId="{F197763C-A5EE-4ABF-AF29-A4560F3E32DB}" id="{F4DA99C7-D814-4BF8-A83E-A0D5AADCDDC0}">
    <text>@Rahila Akhtar I am happy with this section and have updated the feedback for him. Can I place a Pass on this?</text>
    <mentions>
      <mention mentionpersonId="{FB67B3A9-3A7A-4398-8B82-1B08911EA27B}" mentionId="{3F62617E-EDE6-478A-844E-45C7182E8CB7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  <pageSetUpPr fitToPage="1"/>
  </sheetPr>
  <dimension ref="A1:T21"/>
  <sheetViews>
    <sheetView tabSelected="1" topLeftCell="A7" zoomScale="107" zoomScaleNormal="107" workbookViewId="0">
      <selection activeCell="A21" sqref="A21"/>
    </sheetView>
  </sheetViews>
  <sheetFormatPr defaultRowHeight="14.4" x14ac:dyDescent="0.3"/>
  <cols>
    <col min="1" max="1" width="24" bestFit="1" customWidth="1"/>
    <col min="2" max="2" width="9.88671875" customWidth="1"/>
    <col min="6" max="6" width="10.6640625" customWidth="1"/>
    <col min="7" max="7" width="12.33203125" customWidth="1"/>
    <col min="10" max="11" width="10.88671875" customWidth="1"/>
    <col min="13" max="13" width="9.88671875" customWidth="1"/>
    <col min="18" max="18" width="0" hidden="1" customWidth="1"/>
    <col min="20" max="20" width="44.6640625" customWidth="1"/>
    <col min="21" max="21" width="10.88671875" customWidth="1"/>
    <col min="22" max="22" width="10" customWidth="1"/>
  </cols>
  <sheetData>
    <row r="1" spans="1:20" ht="18" x14ac:dyDescent="0.35">
      <c r="A1" s="70" t="s">
        <v>0</v>
      </c>
    </row>
    <row r="2" spans="1:20" x14ac:dyDescent="0.3">
      <c r="A2" s="24" t="s">
        <v>1</v>
      </c>
      <c r="B2" s="21"/>
    </row>
    <row r="3" spans="1:20" x14ac:dyDescent="0.3">
      <c r="A3" t="s">
        <v>2</v>
      </c>
    </row>
    <row r="4" spans="1:20" ht="15" thickBot="1" x14ac:dyDescent="0.3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0" ht="158.4" x14ac:dyDescent="0.85">
      <c r="A5" s="22" t="s">
        <v>3</v>
      </c>
      <c r="B5" s="51" t="s">
        <v>4</v>
      </c>
      <c r="C5" s="51" t="s">
        <v>5</v>
      </c>
      <c r="D5" s="52" t="s">
        <v>6</v>
      </c>
      <c r="E5" s="52" t="s">
        <v>7</v>
      </c>
      <c r="F5" s="53" t="s">
        <v>8</v>
      </c>
      <c r="G5" s="53" t="s">
        <v>9</v>
      </c>
      <c r="H5" s="54" t="s">
        <v>10</v>
      </c>
      <c r="I5" s="51" t="s">
        <v>11</v>
      </c>
      <c r="J5" s="51" t="s">
        <v>12</v>
      </c>
      <c r="K5" s="51" t="s">
        <v>13</v>
      </c>
      <c r="L5" s="51" t="s">
        <v>14</v>
      </c>
      <c r="M5" s="51" t="s">
        <v>15</v>
      </c>
      <c r="N5" s="51" t="s">
        <v>16</v>
      </c>
      <c r="O5" s="51" t="s">
        <v>17</v>
      </c>
      <c r="P5" s="51" t="s">
        <v>18</v>
      </c>
      <c r="Q5" s="78" t="s">
        <v>19</v>
      </c>
      <c r="R5" s="37" t="s">
        <v>20</v>
      </c>
      <c r="S5" s="39" t="s">
        <v>21</v>
      </c>
      <c r="T5" s="35" t="s">
        <v>22</v>
      </c>
    </row>
    <row r="6" spans="1:20" x14ac:dyDescent="0.3">
      <c r="A6" s="63" t="s">
        <v>23</v>
      </c>
      <c r="B6" s="55">
        <v>1.1000000000000001</v>
      </c>
      <c r="C6" s="55">
        <v>1.1000000000000001</v>
      </c>
      <c r="D6" s="55">
        <v>1.1000000000000001</v>
      </c>
      <c r="E6" s="55">
        <v>1.1000000000000001</v>
      </c>
      <c r="F6" s="55">
        <v>1.2</v>
      </c>
      <c r="G6" s="55">
        <v>1.3</v>
      </c>
      <c r="H6" s="56">
        <v>2.1</v>
      </c>
      <c r="I6" s="55">
        <v>2.2000000000000002</v>
      </c>
      <c r="J6" s="55">
        <v>2.2999999999999998</v>
      </c>
      <c r="K6" s="55">
        <v>3.1</v>
      </c>
      <c r="L6" s="55">
        <v>3.2</v>
      </c>
      <c r="M6" s="55">
        <v>3.3</v>
      </c>
      <c r="N6" s="55">
        <v>4.0999999999999996</v>
      </c>
      <c r="O6" s="55">
        <v>4.2</v>
      </c>
      <c r="P6" s="55">
        <v>4.3</v>
      </c>
      <c r="Q6" s="26"/>
      <c r="R6" s="40"/>
      <c r="S6" s="44"/>
      <c r="T6" s="44"/>
    </row>
    <row r="7" spans="1:20" ht="28.8" x14ac:dyDescent="0.3">
      <c r="A7" s="57" t="s">
        <v>64</v>
      </c>
      <c r="B7" s="58" t="s">
        <v>24</v>
      </c>
      <c r="C7" s="10"/>
      <c r="D7" s="10"/>
      <c r="E7" s="5" t="s">
        <v>25</v>
      </c>
      <c r="F7" s="5" t="s">
        <v>25</v>
      </c>
      <c r="G7" s="5" t="s">
        <v>25</v>
      </c>
      <c r="H7" s="13" t="s">
        <v>26</v>
      </c>
      <c r="I7" s="5" t="s">
        <v>24</v>
      </c>
      <c r="J7" s="5" t="s">
        <v>24</v>
      </c>
      <c r="K7" s="5" t="s">
        <v>24</v>
      </c>
      <c r="L7" s="10"/>
      <c r="M7" s="5" t="s">
        <v>24</v>
      </c>
      <c r="N7" s="5" t="s">
        <v>24</v>
      </c>
      <c r="O7" s="5" t="s">
        <v>24</v>
      </c>
      <c r="P7" s="5" t="s">
        <v>24</v>
      </c>
      <c r="Q7" s="77"/>
      <c r="R7" s="48">
        <v>6.6665999999999999</v>
      </c>
      <c r="S7" s="50">
        <v>3</v>
      </c>
      <c r="T7" s="49">
        <f>SUM(R7*S7)/100</f>
        <v>0.19999800000000001</v>
      </c>
    </row>
    <row r="8" spans="1:20" x14ac:dyDescent="0.3">
      <c r="A8" s="57" t="s">
        <v>64</v>
      </c>
      <c r="B8" s="5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76" t="s">
        <v>27</v>
      </c>
      <c r="R8" s="48">
        <v>6.6665999999999999</v>
      </c>
      <c r="S8" s="50">
        <v>15</v>
      </c>
      <c r="T8" s="49">
        <f t="shared" ref="T8:T20" si="0">SUM(R8*S8)/100</f>
        <v>0.99998999999999993</v>
      </c>
    </row>
    <row r="9" spans="1:20" x14ac:dyDescent="0.3">
      <c r="A9" s="57" t="s">
        <v>64</v>
      </c>
      <c r="B9" s="5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76" t="s">
        <v>28</v>
      </c>
      <c r="R9" s="48">
        <v>6.6665999999999999</v>
      </c>
      <c r="S9" s="50">
        <v>15</v>
      </c>
      <c r="T9" s="49">
        <f t="shared" si="0"/>
        <v>0.99998999999999993</v>
      </c>
    </row>
    <row r="10" spans="1:20" x14ac:dyDescent="0.3">
      <c r="A10" s="57" t="s">
        <v>64</v>
      </c>
      <c r="B10" s="5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76" t="s">
        <v>28</v>
      </c>
      <c r="R10" s="48">
        <v>6.6665999999999999</v>
      </c>
      <c r="S10" s="50">
        <v>15</v>
      </c>
      <c r="T10" s="49">
        <f t="shared" si="0"/>
        <v>0.99998999999999993</v>
      </c>
    </row>
    <row r="11" spans="1:20" x14ac:dyDescent="0.3">
      <c r="A11" s="57" t="s">
        <v>64</v>
      </c>
      <c r="B11" s="5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10"/>
      <c r="O11" s="10"/>
      <c r="P11" s="10"/>
      <c r="Q11" s="76" t="s">
        <v>28</v>
      </c>
      <c r="R11" s="48">
        <v>6.6665999999999999</v>
      </c>
      <c r="S11" s="50">
        <v>15</v>
      </c>
      <c r="T11" s="49">
        <f t="shared" si="0"/>
        <v>0.99998999999999993</v>
      </c>
    </row>
    <row r="12" spans="1:20" x14ac:dyDescent="0.3">
      <c r="A12" s="57" t="s">
        <v>64</v>
      </c>
      <c r="B12" s="59"/>
      <c r="C12" s="9"/>
      <c r="D12" s="10"/>
      <c r="E12" s="10"/>
      <c r="F12" s="14"/>
      <c r="G12" s="11"/>
      <c r="H12" s="12"/>
      <c r="I12" s="11"/>
      <c r="J12" s="12"/>
      <c r="K12" s="12"/>
      <c r="L12" s="11"/>
      <c r="M12" s="10"/>
      <c r="N12" s="12"/>
      <c r="O12" s="12"/>
      <c r="P12" s="12"/>
      <c r="Q12" s="76" t="s">
        <v>28</v>
      </c>
      <c r="R12" s="48">
        <v>6.6665999999999999</v>
      </c>
      <c r="S12" s="50">
        <v>15</v>
      </c>
      <c r="T12" s="49">
        <f t="shared" si="0"/>
        <v>0.99998999999999993</v>
      </c>
    </row>
    <row r="13" spans="1:20" x14ac:dyDescent="0.3">
      <c r="A13" s="57" t="s">
        <v>64</v>
      </c>
      <c r="B13" s="59"/>
      <c r="C13" s="9"/>
      <c r="D13" s="10"/>
      <c r="E13" s="10"/>
      <c r="F13" s="10"/>
      <c r="G13" s="18"/>
      <c r="H13" s="9"/>
      <c r="I13" s="9"/>
      <c r="J13" s="9"/>
      <c r="K13" s="9"/>
      <c r="L13" s="10"/>
      <c r="M13" s="10"/>
      <c r="N13" s="10"/>
      <c r="O13" s="10"/>
      <c r="P13" s="9"/>
      <c r="Q13" s="76" t="s">
        <v>28</v>
      </c>
      <c r="R13" s="48">
        <v>6.6665999999999999</v>
      </c>
      <c r="S13" s="50">
        <v>15</v>
      </c>
      <c r="T13" s="49">
        <f t="shared" si="0"/>
        <v>0.99998999999999993</v>
      </c>
    </row>
    <row r="14" spans="1:20" x14ac:dyDescent="0.3">
      <c r="A14" s="57" t="s">
        <v>64</v>
      </c>
      <c r="B14" s="61" t="s">
        <v>24</v>
      </c>
      <c r="C14" s="9"/>
      <c r="D14" s="1" t="s">
        <v>25</v>
      </c>
      <c r="E14" s="1" t="s">
        <v>25</v>
      </c>
      <c r="F14" s="1" t="s">
        <v>24</v>
      </c>
      <c r="G14" s="1" t="s">
        <v>24</v>
      </c>
      <c r="H14" s="1" t="s">
        <v>24</v>
      </c>
      <c r="I14" s="10"/>
      <c r="J14" s="2" t="s">
        <v>24</v>
      </c>
      <c r="K14" s="9"/>
      <c r="L14" s="10"/>
      <c r="M14" s="1" t="s">
        <v>24</v>
      </c>
      <c r="N14" s="1" t="s">
        <v>24</v>
      </c>
      <c r="O14" s="1" t="s">
        <v>24</v>
      </c>
      <c r="P14" s="1" t="s">
        <v>24</v>
      </c>
      <c r="Q14" s="26"/>
      <c r="R14" s="48">
        <v>6.6665999999999999</v>
      </c>
      <c r="S14" s="50">
        <v>4</v>
      </c>
      <c r="T14" s="49">
        <f t="shared" si="0"/>
        <v>0.26666400000000001</v>
      </c>
    </row>
    <row r="15" spans="1:20" x14ac:dyDescent="0.3">
      <c r="A15" s="57" t="s">
        <v>64</v>
      </c>
      <c r="B15" s="59"/>
      <c r="C15" s="16">
        <v>66</v>
      </c>
      <c r="D15" s="1" t="s">
        <v>25</v>
      </c>
      <c r="E15" s="1" t="s">
        <v>25</v>
      </c>
      <c r="F15" s="13">
        <v>56</v>
      </c>
      <c r="G15" s="1" t="s">
        <v>24</v>
      </c>
      <c r="H15" s="1" t="s">
        <v>24</v>
      </c>
      <c r="I15" s="1" t="s">
        <v>24</v>
      </c>
      <c r="J15" s="2" t="s">
        <v>24</v>
      </c>
      <c r="K15" s="2" t="s">
        <v>24</v>
      </c>
      <c r="L15" s="2" t="s">
        <v>24</v>
      </c>
      <c r="M15" s="2" t="s">
        <v>24</v>
      </c>
      <c r="N15" s="13">
        <v>78</v>
      </c>
      <c r="O15" s="1" t="s">
        <v>24</v>
      </c>
      <c r="P15" s="1" t="s">
        <v>24</v>
      </c>
      <c r="Q15" s="26"/>
      <c r="R15" s="48">
        <v>6.6665999999999999</v>
      </c>
      <c r="S15" s="50">
        <v>1</v>
      </c>
      <c r="T15" s="49">
        <f t="shared" si="0"/>
        <v>6.6666000000000003E-2</v>
      </c>
    </row>
    <row r="16" spans="1:20" ht="13.5" customHeight="1" x14ac:dyDescent="0.3">
      <c r="A16" s="57" t="s">
        <v>64</v>
      </c>
      <c r="B16" s="59"/>
      <c r="C16" s="9"/>
      <c r="D16" s="10"/>
      <c r="E16" s="10"/>
      <c r="F16" s="10"/>
      <c r="G16" s="10"/>
      <c r="H16" s="14"/>
      <c r="I16" s="10"/>
      <c r="J16" s="9"/>
      <c r="K16" s="9"/>
      <c r="L16" s="10"/>
      <c r="M16" s="10"/>
      <c r="N16" s="10"/>
      <c r="O16" s="10"/>
      <c r="P16" s="10"/>
      <c r="Q16" s="76" t="s">
        <v>28</v>
      </c>
      <c r="R16" s="48">
        <v>6.6665999999999999</v>
      </c>
      <c r="S16" s="50">
        <v>15</v>
      </c>
      <c r="T16" s="49">
        <f t="shared" si="0"/>
        <v>0.99998999999999993</v>
      </c>
    </row>
    <row r="17" spans="1:20" x14ac:dyDescent="0.3">
      <c r="A17" s="57" t="s">
        <v>64</v>
      </c>
      <c r="B17" s="59"/>
      <c r="C17" s="10"/>
      <c r="D17" s="10"/>
      <c r="E17" s="10"/>
      <c r="F17" s="10"/>
      <c r="G17" s="10"/>
      <c r="H17" s="9"/>
      <c r="I17" s="10"/>
      <c r="J17" s="10"/>
      <c r="K17" s="9"/>
      <c r="L17" s="10"/>
      <c r="M17" s="11"/>
      <c r="N17" s="10"/>
      <c r="O17" s="10"/>
      <c r="P17" s="9"/>
      <c r="Q17" s="76" t="s">
        <v>28</v>
      </c>
      <c r="R17" s="48">
        <v>6.6665999999999999</v>
      </c>
      <c r="S17" s="50">
        <v>15</v>
      </c>
      <c r="T17" s="49">
        <f t="shared" si="0"/>
        <v>0.99998999999999993</v>
      </c>
    </row>
    <row r="18" spans="1:20" x14ac:dyDescent="0.3">
      <c r="A18" s="57" t="s">
        <v>64</v>
      </c>
      <c r="B18" s="59"/>
      <c r="C18" s="9"/>
      <c r="D18" s="10"/>
      <c r="E18" s="10"/>
      <c r="F18" s="11"/>
      <c r="G18" s="11"/>
      <c r="H18" s="12"/>
      <c r="I18" s="11"/>
      <c r="J18" s="12"/>
      <c r="K18" s="12"/>
      <c r="L18" s="11"/>
      <c r="M18" s="10"/>
      <c r="N18" s="11"/>
      <c r="O18" s="11"/>
      <c r="P18" s="12"/>
      <c r="Q18" s="76" t="s">
        <v>28</v>
      </c>
      <c r="R18" s="48">
        <v>6.6665999999999999</v>
      </c>
      <c r="S18" s="50">
        <v>15</v>
      </c>
      <c r="T18" s="49">
        <f t="shared" si="0"/>
        <v>0.99998999999999993</v>
      </c>
    </row>
    <row r="19" spans="1:20" x14ac:dyDescent="0.3">
      <c r="A19" s="57" t="s">
        <v>64</v>
      </c>
      <c r="B19" s="59"/>
      <c r="C19" s="9"/>
      <c r="D19" s="10"/>
      <c r="E19" s="10"/>
      <c r="F19" s="10"/>
      <c r="G19" s="10"/>
      <c r="H19" s="9"/>
      <c r="I19" s="10"/>
      <c r="J19" s="9"/>
      <c r="K19" s="9"/>
      <c r="L19" s="10"/>
      <c r="M19" s="10"/>
      <c r="N19" s="10"/>
      <c r="O19" s="10"/>
      <c r="P19" s="9"/>
      <c r="Q19" s="76" t="s">
        <v>28</v>
      </c>
      <c r="R19" s="48">
        <v>6.6665999999999999</v>
      </c>
      <c r="S19" s="50">
        <v>15</v>
      </c>
      <c r="T19" s="49">
        <f t="shared" si="0"/>
        <v>0.99998999999999993</v>
      </c>
    </row>
    <row r="20" spans="1:20" x14ac:dyDescent="0.3">
      <c r="A20" s="57" t="s">
        <v>64</v>
      </c>
      <c r="B20" s="62"/>
      <c r="C20" s="9"/>
      <c r="D20" s="9"/>
      <c r="E20" s="9"/>
      <c r="F20" s="9"/>
      <c r="G20" s="10"/>
      <c r="H20" s="9"/>
      <c r="I20" s="10"/>
      <c r="J20" s="9"/>
      <c r="K20" s="9"/>
      <c r="L20" s="10"/>
      <c r="M20" s="10"/>
      <c r="N20" s="10"/>
      <c r="O20" s="10"/>
      <c r="P20" s="10"/>
      <c r="Q20" s="76" t="s">
        <v>28</v>
      </c>
      <c r="R20" s="48">
        <v>6.6665999999999999</v>
      </c>
      <c r="S20" s="50">
        <v>15</v>
      </c>
      <c r="T20" s="49">
        <f t="shared" si="0"/>
        <v>0.99998999999999993</v>
      </c>
    </row>
    <row r="21" spans="1:20" ht="158.4" x14ac:dyDescent="0.3">
      <c r="A21" s="65" t="s">
        <v>3</v>
      </c>
      <c r="B21" s="51" t="s">
        <v>29</v>
      </c>
      <c r="C21" s="51" t="s">
        <v>30</v>
      </c>
      <c r="D21" s="52" t="s">
        <v>31</v>
      </c>
      <c r="E21" s="52" t="s">
        <v>32</v>
      </c>
      <c r="F21" s="53" t="s">
        <v>8</v>
      </c>
      <c r="G21" s="53" t="s">
        <v>33</v>
      </c>
      <c r="H21" s="54" t="s">
        <v>10</v>
      </c>
      <c r="I21" s="51" t="s">
        <v>11</v>
      </c>
      <c r="J21" s="51" t="s">
        <v>12</v>
      </c>
      <c r="K21" s="51" t="s">
        <v>13</v>
      </c>
      <c r="L21" s="51" t="s">
        <v>14</v>
      </c>
      <c r="M21" s="51" t="s">
        <v>15</v>
      </c>
      <c r="N21" s="51" t="s">
        <v>16</v>
      </c>
      <c r="O21" s="51" t="s">
        <v>17</v>
      </c>
      <c r="P21" s="51" t="s">
        <v>18</v>
      </c>
      <c r="Q21" s="78" t="s">
        <v>19</v>
      </c>
    </row>
  </sheetData>
  <conditionalFormatting sqref="N11:P11 Q10:Q11 B7:E19 G20:M20 F7:Q10 N12:Q20 F11:M19">
    <cfRule type="cellIs" dxfId="23" priority="58" operator="equal">
      <formula>"n"</formula>
    </cfRule>
    <cfRule type="cellIs" dxfId="22" priority="59" operator="equal">
      <formula>"p"</formula>
    </cfRule>
    <cfRule type="cellIs" dxfId="21" priority="60" operator="equal">
      <formula>"e"</formula>
    </cfRule>
  </conditionalFormatting>
  <conditionalFormatting sqref="F12:L19 M11:M18 N11:P11 Q10:Q11 K15:M15 B7:Q10 N12:Q19 B11:L17">
    <cfRule type="cellIs" dxfId="20" priority="55" operator="equal">
      <formula>"e"</formula>
    </cfRule>
    <cfRule type="cellIs" dxfId="19" priority="56" operator="equal">
      <formula>"p"</formula>
    </cfRule>
    <cfRule type="cellIs" dxfId="18" priority="57" operator="equal">
      <formula>"n"</formula>
    </cfRule>
  </conditionalFormatting>
  <conditionalFormatting sqref="T7:T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{8153F9CD-1709-4AA8-BAFA-AD62B07DC05D}</x14:id>
        </ext>
      </extLst>
    </cfRule>
  </conditionalFormatting>
  <conditionalFormatting sqref="T7:T2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25" right="0.25" top="0.75" bottom="0.75" header="0.3" footer="0.3"/>
  <pageSetup paperSize="9" scale="76" orientation="landscape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53F9CD-1709-4AA8-BAFA-AD62B07DC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T7:T20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A804-420A-4073-B077-ED55A4DEE288}">
  <sheetPr>
    <tabColor rgb="FFD9E1F2"/>
  </sheetPr>
  <dimension ref="A1:T20"/>
  <sheetViews>
    <sheetView showRowColHeaders="0" topLeftCell="A4" workbookViewId="0">
      <selection activeCell="T20" sqref="T20"/>
    </sheetView>
  </sheetViews>
  <sheetFormatPr defaultRowHeight="14.4" x14ac:dyDescent="0.3"/>
  <cols>
    <col min="1" max="1" width="19" customWidth="1"/>
    <col min="18" max="18" width="7.6640625" hidden="1" customWidth="1"/>
    <col min="19" max="19" width="7.6640625" customWidth="1"/>
    <col min="20" max="20" width="44.6640625" customWidth="1"/>
    <col min="21" max="21" width="13" bestFit="1" customWidth="1"/>
  </cols>
  <sheetData>
    <row r="1" spans="1:20" ht="18" x14ac:dyDescent="0.35">
      <c r="A1" s="71" t="s">
        <v>50</v>
      </c>
      <c r="B1" s="69"/>
      <c r="C1" s="69"/>
    </row>
    <row r="2" spans="1:20" x14ac:dyDescent="0.3">
      <c r="A2" s="29" t="s">
        <v>34</v>
      </c>
      <c r="B2" s="25"/>
    </row>
    <row r="3" spans="1:20" x14ac:dyDescent="0.3">
      <c r="A3" t="s">
        <v>2</v>
      </c>
    </row>
    <row r="4" spans="1:20" x14ac:dyDescent="0.3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0" ht="187.2" x14ac:dyDescent="0.85">
      <c r="A5" s="79" t="s">
        <v>3</v>
      </c>
      <c r="B5" s="51" t="s">
        <v>35</v>
      </c>
      <c r="C5" s="51" t="s">
        <v>36</v>
      </c>
      <c r="D5" s="52" t="s">
        <v>37</v>
      </c>
      <c r="E5" s="53" t="s">
        <v>38</v>
      </c>
      <c r="F5" s="53" t="s">
        <v>39</v>
      </c>
      <c r="G5" s="54" t="s">
        <v>40</v>
      </c>
      <c r="H5" s="54" t="s">
        <v>41</v>
      </c>
      <c r="I5" s="51" t="s">
        <v>42</v>
      </c>
      <c r="J5" s="51" t="s">
        <v>43</v>
      </c>
      <c r="K5" s="51" t="s">
        <v>44</v>
      </c>
      <c r="L5" s="51" t="s">
        <v>45</v>
      </c>
      <c r="M5" s="51" t="s">
        <v>46</v>
      </c>
      <c r="N5" s="51" t="s">
        <v>47</v>
      </c>
      <c r="O5" s="51" t="s">
        <v>48</v>
      </c>
      <c r="P5" s="51" t="s">
        <v>49</v>
      </c>
      <c r="Q5" s="72" t="s">
        <v>19</v>
      </c>
      <c r="R5" s="37" t="s">
        <v>20</v>
      </c>
      <c r="S5" s="39" t="s">
        <v>21</v>
      </c>
      <c r="T5" s="35" t="s">
        <v>22</v>
      </c>
    </row>
    <row r="6" spans="1:20" x14ac:dyDescent="0.3">
      <c r="A6" s="64" t="s">
        <v>23</v>
      </c>
      <c r="B6" s="26">
        <v>1.1000000000000001</v>
      </c>
      <c r="C6" s="26">
        <v>1.2</v>
      </c>
      <c r="D6" s="26">
        <v>1.3</v>
      </c>
      <c r="E6" s="26">
        <v>1.4</v>
      </c>
      <c r="F6" s="26">
        <v>1.5</v>
      </c>
      <c r="G6" s="27">
        <v>1.6</v>
      </c>
      <c r="H6" s="27">
        <v>2.1</v>
      </c>
      <c r="I6" s="26">
        <v>2.2000000000000002</v>
      </c>
      <c r="J6" s="26">
        <v>2.2999999999999998</v>
      </c>
      <c r="K6" s="26">
        <v>3.1</v>
      </c>
      <c r="L6" s="26">
        <v>3.2</v>
      </c>
      <c r="M6" s="26">
        <v>4.0999999999999996</v>
      </c>
      <c r="N6" s="26">
        <v>4.2</v>
      </c>
      <c r="O6" s="26">
        <v>4.3</v>
      </c>
      <c r="P6" s="26">
        <v>4.4000000000000004</v>
      </c>
      <c r="Q6" s="73"/>
      <c r="R6" s="40"/>
      <c r="S6" s="36"/>
      <c r="T6" s="44"/>
    </row>
    <row r="7" spans="1:20" x14ac:dyDescent="0.3">
      <c r="A7" s="57" t="s">
        <v>63</v>
      </c>
      <c r="B7" s="5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74" t="s">
        <v>28</v>
      </c>
      <c r="R7" s="37">
        <v>6.6665999999999999</v>
      </c>
      <c r="S7" s="46">
        <v>15</v>
      </c>
      <c r="T7" s="41">
        <f>SUM(R7*S7)/100</f>
        <v>0.99998999999999993</v>
      </c>
    </row>
    <row r="8" spans="1:20" ht="28.8" x14ac:dyDescent="0.3">
      <c r="A8" s="57" t="s">
        <v>63</v>
      </c>
      <c r="B8" s="66"/>
      <c r="C8" s="10"/>
      <c r="D8" s="33"/>
      <c r="E8" s="19"/>
      <c r="F8" s="10"/>
      <c r="G8" s="10"/>
      <c r="H8" s="10"/>
      <c r="I8" s="10"/>
      <c r="J8" s="10"/>
      <c r="K8" s="10"/>
      <c r="L8" s="10"/>
      <c r="M8" s="10"/>
      <c r="N8" s="13" t="s">
        <v>51</v>
      </c>
      <c r="O8" s="10"/>
      <c r="P8" s="13" t="s">
        <v>52</v>
      </c>
      <c r="Q8" s="75"/>
      <c r="R8" s="37">
        <v>6.6665999999999999</v>
      </c>
      <c r="S8" s="46">
        <v>13</v>
      </c>
      <c r="T8" s="42">
        <f t="shared" ref="T8:T19" si="0">SUM(R8*S8)/100</f>
        <v>0.86665800000000004</v>
      </c>
    </row>
    <row r="9" spans="1:20" x14ac:dyDescent="0.3">
      <c r="A9" s="57" t="s">
        <v>63</v>
      </c>
      <c r="B9" s="59"/>
      <c r="C9" s="10"/>
      <c r="D9" s="19"/>
      <c r="E9" s="10"/>
      <c r="F9" s="10"/>
      <c r="G9" s="10"/>
      <c r="H9" s="17"/>
      <c r="I9" s="10"/>
      <c r="J9" s="19"/>
      <c r="K9" s="10"/>
      <c r="L9" s="19"/>
      <c r="M9" s="19"/>
      <c r="N9" s="19"/>
      <c r="O9" s="19"/>
      <c r="P9" s="19"/>
      <c r="Q9" s="75"/>
      <c r="R9" s="37">
        <v>6.6665999999999999</v>
      </c>
      <c r="S9" s="46">
        <v>15</v>
      </c>
      <c r="T9" s="42">
        <f t="shared" si="0"/>
        <v>0.99998999999999993</v>
      </c>
    </row>
    <row r="10" spans="1:20" ht="43.2" x14ac:dyDescent="0.3">
      <c r="A10" s="57" t="s">
        <v>63</v>
      </c>
      <c r="B10" s="60" t="s">
        <v>53</v>
      </c>
      <c r="C10" s="10"/>
      <c r="D10" s="10"/>
      <c r="E10" s="10"/>
      <c r="F10" s="10"/>
      <c r="G10" s="10"/>
      <c r="H10" s="10"/>
      <c r="I10" s="19"/>
      <c r="J10" s="13" t="s">
        <v>53</v>
      </c>
      <c r="K10" s="13" t="s">
        <v>53</v>
      </c>
      <c r="L10" s="13" t="s">
        <v>54</v>
      </c>
      <c r="M10" s="10"/>
      <c r="N10" s="10"/>
      <c r="O10" s="23"/>
      <c r="P10" s="13" t="s">
        <v>55</v>
      </c>
      <c r="Q10" s="75"/>
      <c r="R10" s="37">
        <v>6.6665999999999999</v>
      </c>
      <c r="S10" s="46">
        <v>10</v>
      </c>
      <c r="T10" s="42">
        <f t="shared" si="0"/>
        <v>0.66665999999999992</v>
      </c>
    </row>
    <row r="11" spans="1:20" x14ac:dyDescent="0.3">
      <c r="A11" s="57" t="s">
        <v>63</v>
      </c>
      <c r="B11" s="59"/>
      <c r="C11" s="10"/>
      <c r="D11" s="10"/>
      <c r="E11" s="10"/>
      <c r="F11" s="10"/>
      <c r="G11" s="10"/>
      <c r="H11" s="10"/>
      <c r="I11" s="30"/>
      <c r="J11" s="10"/>
      <c r="K11" s="10"/>
      <c r="L11" s="10"/>
      <c r="M11" s="10"/>
      <c r="N11" s="10"/>
      <c r="O11" s="10"/>
      <c r="P11" s="10"/>
      <c r="Q11" s="74" t="s">
        <v>28</v>
      </c>
      <c r="R11" s="37">
        <v>6.6665999999999999</v>
      </c>
      <c r="S11" s="46">
        <v>15</v>
      </c>
      <c r="T11" s="42">
        <f t="shared" si="0"/>
        <v>0.99998999999999993</v>
      </c>
    </row>
    <row r="12" spans="1:20" x14ac:dyDescent="0.3">
      <c r="A12" s="57" t="s">
        <v>63</v>
      </c>
      <c r="B12" s="59"/>
      <c r="C12" s="10"/>
      <c r="D12" s="10"/>
      <c r="E12" s="12"/>
      <c r="F12" s="11"/>
      <c r="G12" s="14"/>
      <c r="H12" s="14"/>
      <c r="I12" s="11"/>
      <c r="J12" s="12"/>
      <c r="K12" s="14"/>
      <c r="L12" s="14"/>
      <c r="M12" s="31"/>
      <c r="N12" s="12"/>
      <c r="O12" s="28"/>
      <c r="P12" s="12"/>
      <c r="Q12" s="74" t="s">
        <v>28</v>
      </c>
      <c r="R12" s="37">
        <v>6.6665999999999999</v>
      </c>
      <c r="S12" s="46">
        <v>15</v>
      </c>
      <c r="T12" s="42">
        <f t="shared" si="0"/>
        <v>0.99998999999999993</v>
      </c>
    </row>
    <row r="13" spans="1:20" x14ac:dyDescent="0.3">
      <c r="A13" s="57" t="s">
        <v>63</v>
      </c>
      <c r="B13" s="67"/>
      <c r="C13" s="19"/>
      <c r="D13" s="10"/>
      <c r="E13" s="19"/>
      <c r="F13" s="33"/>
      <c r="G13" s="20"/>
      <c r="H13" s="34"/>
      <c r="I13" s="34"/>
      <c r="J13" s="14"/>
      <c r="K13" s="34"/>
      <c r="L13" s="34"/>
      <c r="M13" s="34"/>
      <c r="N13" s="34"/>
      <c r="O13" s="34"/>
      <c r="P13" s="34"/>
      <c r="Q13" s="74" t="s">
        <v>28</v>
      </c>
      <c r="R13" s="37">
        <v>6.6665999999999999</v>
      </c>
      <c r="S13" s="46">
        <v>15</v>
      </c>
      <c r="T13" s="42">
        <f t="shared" si="0"/>
        <v>0.99998999999999993</v>
      </c>
    </row>
    <row r="14" spans="1:20" ht="57.6" x14ac:dyDescent="0.3">
      <c r="A14" s="57" t="s">
        <v>63</v>
      </c>
      <c r="B14" s="59"/>
      <c r="C14" s="14"/>
      <c r="D14" s="19"/>
      <c r="E14" s="19"/>
      <c r="F14" s="19"/>
      <c r="G14" s="19"/>
      <c r="H14" s="34"/>
      <c r="I14" s="34"/>
      <c r="J14" s="34"/>
      <c r="K14" s="34"/>
      <c r="L14" s="32" t="s">
        <v>56</v>
      </c>
      <c r="M14" s="32" t="s">
        <v>57</v>
      </c>
      <c r="N14" s="32" t="s">
        <v>57</v>
      </c>
      <c r="O14" s="32" t="s">
        <v>58</v>
      </c>
      <c r="P14" s="32" t="s">
        <v>59</v>
      </c>
      <c r="Q14" s="73"/>
      <c r="R14" s="37">
        <v>6.6665999999999999</v>
      </c>
      <c r="S14" s="46">
        <v>10</v>
      </c>
      <c r="T14" s="42">
        <f t="shared" si="0"/>
        <v>0.66665999999999992</v>
      </c>
    </row>
    <row r="15" spans="1:20" x14ac:dyDescent="0.3">
      <c r="A15" s="57" t="s">
        <v>63</v>
      </c>
      <c r="B15" s="59"/>
      <c r="C15" s="9"/>
      <c r="D15" s="10"/>
      <c r="E15" s="10"/>
      <c r="F15" s="10"/>
      <c r="G15" s="9"/>
      <c r="H15" s="9"/>
      <c r="I15" s="10"/>
      <c r="J15" s="9"/>
      <c r="K15" s="9"/>
      <c r="L15" s="10"/>
      <c r="M15" s="10"/>
      <c r="N15" s="10"/>
      <c r="O15" s="10"/>
      <c r="P15" s="9"/>
      <c r="Q15" s="74" t="s">
        <v>28</v>
      </c>
      <c r="R15" s="37">
        <v>6.6665999999999999</v>
      </c>
      <c r="S15" s="46">
        <v>15</v>
      </c>
      <c r="T15" s="42">
        <f t="shared" si="0"/>
        <v>0.99998999999999993</v>
      </c>
    </row>
    <row r="16" spans="1:20" ht="43.2" x14ac:dyDescent="0.3">
      <c r="A16" s="57" t="s">
        <v>63</v>
      </c>
      <c r="B16" s="68" t="s">
        <v>60</v>
      </c>
      <c r="C16" s="13" t="s">
        <v>60</v>
      </c>
      <c r="D16" s="1" t="s">
        <v>61</v>
      </c>
      <c r="E16" s="1" t="s">
        <v>57</v>
      </c>
      <c r="F16" s="10"/>
      <c r="G16" s="32" t="s">
        <v>57</v>
      </c>
      <c r="H16" s="32" t="s">
        <v>57</v>
      </c>
      <c r="I16" s="32" t="s">
        <v>57</v>
      </c>
      <c r="J16" s="32" t="s">
        <v>57</v>
      </c>
      <c r="K16" s="32" t="s">
        <v>57</v>
      </c>
      <c r="L16" s="32" t="s">
        <v>57</v>
      </c>
      <c r="M16" s="32" t="s">
        <v>57</v>
      </c>
      <c r="N16" s="32" t="s">
        <v>57</v>
      </c>
      <c r="O16" s="32" t="s">
        <v>57</v>
      </c>
      <c r="P16" s="32" t="s">
        <v>57</v>
      </c>
      <c r="Q16" s="73"/>
      <c r="R16" s="37">
        <v>6.6665999999999999</v>
      </c>
      <c r="S16" s="46">
        <v>1</v>
      </c>
      <c r="T16" s="42">
        <f t="shared" si="0"/>
        <v>6.6666000000000003E-2</v>
      </c>
    </row>
    <row r="17" spans="1:20" x14ac:dyDescent="0.3">
      <c r="A17" s="57" t="s">
        <v>63</v>
      </c>
      <c r="B17" s="59"/>
      <c r="C17" s="9"/>
      <c r="D17" s="10"/>
      <c r="E17" s="10"/>
      <c r="F17" s="10"/>
      <c r="G17" s="9"/>
      <c r="H17" s="9"/>
      <c r="I17" s="10"/>
      <c r="J17" s="9"/>
      <c r="K17" s="9"/>
      <c r="L17" s="10"/>
      <c r="M17" s="10"/>
      <c r="N17" s="10"/>
      <c r="O17" s="10"/>
      <c r="P17" s="10"/>
      <c r="Q17" s="74" t="s">
        <v>28</v>
      </c>
      <c r="R17" s="37">
        <v>6.6665999999999999</v>
      </c>
      <c r="S17" s="46">
        <v>15</v>
      </c>
      <c r="T17" s="42">
        <f t="shared" si="0"/>
        <v>0.99998999999999993</v>
      </c>
    </row>
    <row r="18" spans="1:20" x14ac:dyDescent="0.3">
      <c r="A18" s="57" t="s">
        <v>63</v>
      </c>
      <c r="B18" s="59"/>
      <c r="C18" s="9"/>
      <c r="D18" s="10"/>
      <c r="E18" s="10"/>
      <c r="F18" s="11"/>
      <c r="G18" s="12"/>
      <c r="H18" s="12"/>
      <c r="I18" s="11"/>
      <c r="J18" s="11"/>
      <c r="K18" s="11"/>
      <c r="L18" s="11"/>
      <c r="M18" s="11"/>
      <c r="N18" s="11"/>
      <c r="O18" s="12"/>
      <c r="P18" s="12"/>
      <c r="Q18" s="74" t="s">
        <v>28</v>
      </c>
      <c r="R18" s="37">
        <v>6.6665999999999999</v>
      </c>
      <c r="S18" s="46">
        <v>15</v>
      </c>
      <c r="T18" s="43">
        <f t="shared" si="0"/>
        <v>0.99998999999999993</v>
      </c>
    </row>
    <row r="19" spans="1:20" ht="86.4" x14ac:dyDescent="0.3">
      <c r="A19" s="57" t="s">
        <v>63</v>
      </c>
      <c r="B19" s="59"/>
      <c r="C19" s="9"/>
      <c r="D19" s="10"/>
      <c r="E19" s="10"/>
      <c r="F19" s="10"/>
      <c r="G19" s="13" t="s">
        <v>62</v>
      </c>
      <c r="H19" s="9"/>
      <c r="I19" s="10"/>
      <c r="J19" s="9"/>
      <c r="K19" s="9"/>
      <c r="L19" s="10"/>
      <c r="M19" s="10"/>
      <c r="N19" s="10"/>
      <c r="O19" s="10"/>
      <c r="P19" s="9"/>
      <c r="Q19" s="38"/>
      <c r="R19" s="37">
        <v>6.6665999999999999</v>
      </c>
      <c r="S19" s="47">
        <v>14</v>
      </c>
      <c r="T19" s="45">
        <f t="shared" si="0"/>
        <v>0.93332399999999993</v>
      </c>
    </row>
    <row r="20" spans="1:20" ht="187.2" x14ac:dyDescent="0.3">
      <c r="A20" s="65" t="s">
        <v>3</v>
      </c>
      <c r="B20" s="6" t="s">
        <v>35</v>
      </c>
      <c r="C20" s="6" t="s">
        <v>36</v>
      </c>
      <c r="D20" s="7" t="s">
        <v>37</v>
      </c>
      <c r="E20" s="8" t="s">
        <v>38</v>
      </c>
      <c r="F20" s="8" t="s">
        <v>39</v>
      </c>
      <c r="G20" s="15" t="s">
        <v>40</v>
      </c>
      <c r="H20" s="15" t="s">
        <v>41</v>
      </c>
      <c r="I20" s="6" t="s">
        <v>42</v>
      </c>
      <c r="J20" s="6" t="s">
        <v>43</v>
      </c>
      <c r="K20" s="6" t="s">
        <v>44</v>
      </c>
      <c r="L20" s="6" t="s">
        <v>45</v>
      </c>
      <c r="M20" s="6" t="s">
        <v>46</v>
      </c>
      <c r="N20" s="6" t="s">
        <v>47</v>
      </c>
      <c r="O20" s="6" t="s">
        <v>48</v>
      </c>
      <c r="P20" s="6" t="s">
        <v>49</v>
      </c>
      <c r="Q20" s="6" t="s">
        <v>19</v>
      </c>
    </row>
  </sheetData>
  <conditionalFormatting sqref="M11:P11 Q10:Q11 E9:G9 I9:L9 B7:D13 E7:Q8 N9:Q9 E10:P10 M12:Q12 E13:Q13 E11:L12 Q14 B15:Q19">
    <cfRule type="cellIs" dxfId="17" priority="20" operator="equal">
      <formula>"n"</formula>
    </cfRule>
    <cfRule type="cellIs" dxfId="16" priority="21" operator="equal">
      <formula>"p"</formula>
    </cfRule>
    <cfRule type="cellIs" dxfId="15" priority="22" operator="equal">
      <formula>"e"</formula>
    </cfRule>
  </conditionalFormatting>
  <conditionalFormatting sqref="M11:P11 Q10:Q11 B9:G9 I9:L9 B11:L13 B7:Q8 N9:Q9 B10:P10 E18:L19 M12:Q13 M15:Q19 Q14 B15:L17">
    <cfRule type="cellIs" dxfId="14" priority="17" operator="equal">
      <formula>"e"</formula>
    </cfRule>
    <cfRule type="cellIs" dxfId="13" priority="18" operator="equal">
      <formula>"p"</formula>
    </cfRule>
    <cfRule type="cellIs" dxfId="12" priority="19" operator="equal">
      <formula>"n"</formula>
    </cfRule>
  </conditionalFormatting>
  <conditionalFormatting sqref="M9">
    <cfRule type="cellIs" dxfId="11" priority="14" operator="equal">
      <formula>"n"</formula>
    </cfRule>
    <cfRule type="cellIs" dxfId="10" priority="15" operator="equal">
      <formula>"p"</formula>
    </cfRule>
    <cfRule type="cellIs" dxfId="9" priority="16" operator="equal">
      <formula>"e"</formula>
    </cfRule>
  </conditionalFormatting>
  <conditionalFormatting sqref="M9">
    <cfRule type="cellIs" dxfId="8" priority="11" operator="equal">
      <formula>"e"</formula>
    </cfRule>
    <cfRule type="cellIs" dxfId="7" priority="12" operator="equal">
      <formula>"p"</formula>
    </cfRule>
    <cfRule type="cellIs" dxfId="6" priority="13" operator="equal">
      <formula>"n"</formula>
    </cfRule>
  </conditionalFormatting>
  <conditionalFormatting sqref="B14:P14">
    <cfRule type="cellIs" dxfId="5" priority="8" operator="equal">
      <formula>"n"</formula>
    </cfRule>
    <cfRule type="cellIs" dxfId="4" priority="9" operator="equal">
      <formula>"p"</formula>
    </cfRule>
    <cfRule type="cellIs" dxfId="3" priority="10" operator="equal">
      <formula>"e"</formula>
    </cfRule>
  </conditionalFormatting>
  <conditionalFormatting sqref="B14:P14">
    <cfRule type="cellIs" dxfId="2" priority="5" operator="equal">
      <formula>"e"</formula>
    </cfRule>
    <cfRule type="cellIs" dxfId="1" priority="6" operator="equal">
      <formula>"p"</formula>
    </cfRule>
    <cfRule type="cellIs" dxfId="0" priority="7" operator="equal">
      <formula>"n"</formula>
    </cfRule>
  </conditionalFormatting>
  <conditionalFormatting sqref="T7:T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{00000000-000E-0000-0500-000002000000}</x14:id>
        </ext>
      </extLst>
    </cfRule>
  </conditionalFormatting>
  <conditionalFormatting sqref="T7:T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0-000E-0000-0500-0000020000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T7:T19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Version xmlns="04fef58b-10bc-4fc2-9d3c-41975f22be1d" xsi:nil="true"/>
    <IsNotebookLocked xmlns="04fef58b-10bc-4fc2-9d3c-41975f22be1d" xsi:nil="true"/>
    <DefaultSectionNames xmlns="04fef58b-10bc-4fc2-9d3c-41975f22be1d" xsi:nil="true"/>
    <_ip_UnifiedCompliancePolicyUIAction xmlns="http://schemas.microsoft.com/sharepoint/v3" xsi:nil="true"/>
    <Math_Settings xmlns="04fef58b-10bc-4fc2-9d3c-41975f22be1d" xsi:nil="true"/>
    <Owner xmlns="04fef58b-10bc-4fc2-9d3c-41975f22be1d">
      <UserInfo>
        <DisplayName/>
        <AccountId xsi:nil="true"/>
        <AccountType/>
      </UserInfo>
    </Owner>
    <Distribution_Groups xmlns="04fef58b-10bc-4fc2-9d3c-41975f22be1d" xsi:nil="true"/>
    <LMS_Mappings xmlns="04fef58b-10bc-4fc2-9d3c-41975f22be1d" xsi:nil="true"/>
    <Templates xmlns="04fef58b-10bc-4fc2-9d3c-41975f22be1d" xsi:nil="true"/>
    <NotebookType xmlns="04fef58b-10bc-4fc2-9d3c-41975f22be1d" xsi:nil="true"/>
    <Students xmlns="04fef58b-10bc-4fc2-9d3c-41975f22be1d">
      <UserInfo>
        <DisplayName/>
        <AccountId xsi:nil="true"/>
        <AccountType/>
      </UserInfo>
    </Students>
    <TeamsChannelId xmlns="04fef58b-10bc-4fc2-9d3c-41975f22be1d" xsi:nil="true"/>
    <_ip_UnifiedCompliancePolicyProperties xmlns="http://schemas.microsoft.com/sharepoint/v3" xsi:nil="true"/>
    <Student_Groups xmlns="04fef58b-10bc-4fc2-9d3c-41975f22be1d">
      <UserInfo>
        <DisplayName/>
        <AccountId xsi:nil="true"/>
        <AccountType/>
      </UserInfo>
    </Student_Groups>
    <Invited_Teachers xmlns="04fef58b-10bc-4fc2-9d3c-41975f22be1d" xsi:nil="true"/>
    <Invited_Students xmlns="04fef58b-10bc-4fc2-9d3c-41975f22be1d" xsi:nil="true"/>
    <Is_Collaboration_Space_Locked xmlns="04fef58b-10bc-4fc2-9d3c-41975f22be1d" xsi:nil="true"/>
    <Self_Registration_Enabled xmlns="04fef58b-10bc-4fc2-9d3c-41975f22be1d" xsi:nil="true"/>
    <Has_Teacher_Only_SectionGroup xmlns="04fef58b-10bc-4fc2-9d3c-41975f22be1d" xsi:nil="true"/>
    <CultureName xmlns="04fef58b-10bc-4fc2-9d3c-41975f22be1d" xsi:nil="true"/>
    <FolderType xmlns="04fef58b-10bc-4fc2-9d3c-41975f22be1d" xsi:nil="true"/>
    <Teachers xmlns="04fef58b-10bc-4fc2-9d3c-41975f22be1d">
      <UserInfo>
        <DisplayName/>
        <AccountId xsi:nil="true"/>
        <AccountType/>
      </UserInfo>
    </Teach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40705E8DAD9438C3062DD19C48D17" ma:contentTypeVersion="35" ma:contentTypeDescription="Create a new document." ma:contentTypeScope="" ma:versionID="720ff90e879647ec8f8c069a57b6309c">
  <xsd:schema xmlns:xsd="http://www.w3.org/2001/XMLSchema" xmlns:xs="http://www.w3.org/2001/XMLSchema" xmlns:p="http://schemas.microsoft.com/office/2006/metadata/properties" xmlns:ns1="http://schemas.microsoft.com/sharepoint/v3" xmlns:ns3="04fef58b-10bc-4fc2-9d3c-41975f22be1d" xmlns:ns4="ebc814be-aaa6-4125-a574-39cd015644f2" targetNamespace="http://schemas.microsoft.com/office/2006/metadata/properties" ma:root="true" ma:fieldsID="ac2c105da4d9a12f5466611b6063c471" ns1:_="" ns3:_="" ns4:_="">
    <xsd:import namespace="http://schemas.microsoft.com/sharepoint/v3"/>
    <xsd:import namespace="04fef58b-10bc-4fc2-9d3c-41975f22be1d"/>
    <xsd:import namespace="ebc814be-aaa6-4125-a574-39cd015644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ef58b-10bc-4fc2-9d3c-41975f22b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15" nillable="true" ma:displayName="Notebook Type" ma:internalName="NotebookType">
      <xsd:simpleType>
        <xsd:restriction base="dms:Text"/>
      </xsd:simpleType>
    </xsd:element>
    <xsd:element name="FolderType" ma:index="16" nillable="true" ma:displayName="Folder Type" ma:internalName="FolderType">
      <xsd:simpleType>
        <xsd:restriction base="dms:Text"/>
      </xsd:simpleType>
    </xsd:element>
    <xsd:element name="CultureName" ma:index="17" nillable="true" ma:displayName="Culture Name" ma:internalName="CultureName">
      <xsd:simpleType>
        <xsd:restriction base="dms:Text"/>
      </xsd:simpleType>
    </xsd:element>
    <xsd:element name="AppVersion" ma:index="18" nillable="true" ma:displayName="App Version" ma:internalName="AppVersion">
      <xsd:simpleType>
        <xsd:restriction base="dms:Text"/>
      </xsd:simpleType>
    </xsd:element>
    <xsd:element name="TeamsChannelId" ma:index="19" nillable="true" ma:displayName="Teams Channel Id" ma:internalName="TeamsChannelId">
      <xsd:simpleType>
        <xsd:restriction base="dms:Text"/>
      </xsd:simpleType>
    </xsd:element>
    <xsd:element name="Owner" ma:index="2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1" nillable="true" ma:displayName="Math Settings" ma:internalName="Math_Settings">
      <xsd:simpleType>
        <xsd:restriction base="dms:Text"/>
      </xsd:simple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8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1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2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3" nillable="true" ma:displayName="Is Collaboration Space Locked" ma:internalName="Is_Collaboration_Space_Locked">
      <xsd:simpleType>
        <xsd:restriction base="dms:Boolean"/>
      </xsd:simpleType>
    </xsd:element>
    <xsd:element name="IsNotebookLocked" ma:index="34" nillable="true" ma:displayName="Is Notebook Locked" ma:internalName="IsNotebookLocked">
      <xsd:simpleType>
        <xsd:restriction base="dms:Boolean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814be-aaa6-4125-a574-39cd0156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92D06A-60AF-40C3-94BC-11ED05D99140}">
  <ds:schemaRefs>
    <ds:schemaRef ds:uri="http://schemas.microsoft.com/office/2006/metadata/properties"/>
    <ds:schemaRef ds:uri="http://schemas.microsoft.com/office/infopath/2007/PartnerControls"/>
    <ds:schemaRef ds:uri="04fef58b-10bc-4fc2-9d3c-41975f22be1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3E12A3B-D95A-4888-8205-833AD80665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fef58b-10bc-4fc2-9d3c-41975f22be1d"/>
    <ds:schemaRef ds:uri="ebc814be-aaa6-4125-a574-39cd0156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E14913-CE8D-4F08-946A-7DD32E0B73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Computer Systems Grp 1</vt:lpstr>
      <vt:lpstr>Grp 2 Awareness of Cyber</vt:lpstr>
      <vt:lpstr>'Computer Systems Grp 1'!_Hlk83537405</vt:lpstr>
    </vt:vector>
  </TitlesOfParts>
  <Manager/>
  <Company>Solihull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ituser</dc:creator>
  <cp:keywords/>
  <dc:description/>
  <cp:lastModifiedBy>HNC</cp:lastModifiedBy>
  <cp:revision/>
  <dcterms:created xsi:type="dcterms:W3CDTF">2011-11-13T20:23:05Z</dcterms:created>
  <dcterms:modified xsi:type="dcterms:W3CDTF">2022-06-20T09:51:01Z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0x010100B0540705E8DAD9438C3062DD19C48D17</vt:lpwstr>
  </property>
</Properties>
</file>